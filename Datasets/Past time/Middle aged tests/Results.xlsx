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Datasets\Middle aged tests\"/>
    </mc:Choice>
  </mc:AlternateContent>
  <xr:revisionPtr revIDLastSave="0" documentId="13_ncr:1_{E3112738-15B0-40F5-BE3F-BFCA348849AB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Old results" sheetId="17" r:id="rId1"/>
    <sheet name="Prelims" sheetId="18" r:id="rId2"/>
    <sheet name="Real results" sheetId="20" r:id="rId3"/>
    <sheet name="Old code results" sheetId="21" r:id="rId4"/>
  </sheets>
  <definedNames>
    <definedName name="DatosExternos_1" localSheetId="3" hidden="1">'Old code results'!$B$2:$M$8</definedName>
    <definedName name="DatosExternos_1" localSheetId="0" hidden="1">'Old results'!$B$2:$M$4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0" l="1"/>
  <c r="F7" i="20"/>
  <c r="F6" i="20"/>
  <c r="F5" i="20"/>
  <c r="F4" i="20"/>
  <c r="F3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AFDCD2-078C-40F5-A49D-C0F04ADB578F}" keepAlive="1" name="Consulta - B15" description="Conexión a la consulta 'B15' en el libro." type="5" refreshedVersion="8" background="1" saveData="1">
    <dbPr connection="Provider=Microsoft.Mashup.OleDb.1;Data Source=$Workbook$;Location=B15;Extended Properties=&quot;&quot;" command="SELECT * FROM [B15]"/>
  </connection>
  <connection id="2" xr16:uid="{BCC93EAB-B130-42B3-B1FC-BDCD70A97D89}" keepAlive="1" name="Consulta - C25" description="Conexión a la consulta 'C25' en el libro." type="5" refreshedVersion="8" background="1" saveData="1">
    <dbPr connection="Provider=Microsoft.Mashup.OleDb.1;Data Source=$Workbook$;Location=C25;Extended Properties=&quot;&quot;" command="SELECT * FROM [C25]"/>
  </connection>
  <connection id="3" xr16:uid="{36E13E8C-A8DF-4F6F-8E6F-5F4C5FF650CE}" keepAlive="1" name="Consulta - D25" description="Conexión a la consulta 'D25' en el libro." type="5" refreshedVersion="8" background="1" saveData="1">
    <dbPr connection="Provider=Microsoft.Mashup.OleDb.1;Data Source=$Workbook$;Location=D25;Extended Properties=&quot;&quot;" command="SELECT * FROM [D25]"/>
  </connection>
  <connection id="4" xr16:uid="{753570BF-A8FD-48F6-8F62-8ED7E02E838E}" keepAlive="1" name="Consulta - KKI_30" description="Conexión a la consulta 'KKI_30' en el libro." type="5" refreshedVersion="8" background="1" saveData="1">
    <dbPr connection="Provider=Microsoft.Mashup.OleDb.1;Data Source=$Workbook$;Location=KKI_30;Extended Properties=&quot;&quot;" command="SELECT * FROM [KKI_30]"/>
  </connection>
  <connection id="5" xr16:uid="{D80508C5-6129-4444-AF2A-F3008D4AA349}" keepAlive="1" name="Consulta - KKI_40" description="Conexión a la consulta 'KKI_40' en el libro." type="5" refreshedVersion="0" background="1">
    <dbPr connection="Provider=Microsoft.Mashup.OleDb.1;Data Source=$Workbook$;Location=KKI_40;Extended Properties=&quot;&quot;" command="SELECT * FROM [KKI_40]"/>
  </connection>
  <connection id="6" xr16:uid="{0C85DA6C-48CD-48F7-A2E8-D404DFD59D01}" keepAlive="1" name="Consulta - KKI_40 (2)" description="Conexión a la consulta 'KKI_40 (2)' en el libro." type="5" refreshedVersion="8" background="1" saveData="1">
    <dbPr connection="Provider=Microsoft.Mashup.OleDb.1;Data Source=$Workbook$;Location=&quot;KKI_40 (2)&quot;;Extended Properties=&quot;&quot;" command="SELECT * FROM [KKI_40 (2)]"/>
  </connection>
  <connection id="7" xr16:uid="{12CB0716-9B03-480C-ADB1-3328ECF62666}" keepAlive="1" name="Consulta - results" description="Conexión a la consulta 'results' en el libro." type="5" refreshedVersion="0" background="1">
    <dbPr connection="Provider=Microsoft.Mashup.OleDb.1;Data Source=$Workbook$;Location=results;Extended Properties=&quot;&quot;" command="SELECT * FROM [results]"/>
  </connection>
  <connection id="8" xr16:uid="{6F12ED95-8D8F-49B8-8E71-DE2018E13105}" keepAlive="1" name="Consulta - Results (2)" description="Conexión a la consulta 'Results (2)' en el libro." type="5" refreshedVersion="8" background="1" saveData="1">
    <dbPr connection="Provider=Microsoft.Mashup.OleDb.1;Data Source=$Workbook$;Location=&quot;Results (2)&quot;;Extended Properties=&quot;&quot;" command="SELECT * FROM [Results (2)]"/>
  </connection>
  <connection id="9" xr16:uid="{EE0CA44C-BA41-4881-A67C-A30B6524C675}" keepAlive="1" name="Consulta - Results (3)" description="Conexión a la consulta 'Results (3)' en el libro." type="5" refreshedVersion="8" background="1" saveData="1">
    <dbPr connection="Provider=Microsoft.Mashup.OleDb.1;Data Source=$Workbook$;Location=&quot;Results (3)&quot;;Extended Properties=&quot;&quot;" command="SELECT * FROM [Results (3)]"/>
  </connection>
  <connection id="10" xr16:uid="{F71084CD-51C4-4DCC-96D0-C138DE77017A}" keepAlive="1" name="Consulta - Results (4)" description="Conexión a la consulta 'Results (4)' en el libro." type="5" refreshedVersion="8" background="1" saveData="1">
    <dbPr connection="Provider=Microsoft.Mashup.OleDb.1;Data Source=$Workbook$;Location=&quot;Results (4)&quot;;Extended Properties=&quot;&quot;" command="SELECT * FROM [Results (4)]"/>
  </connection>
  <connection id="11" xr16:uid="{08AF3BF0-A042-4A1B-A6EC-6C63A2DDCAC3}" keepAlive="1" name="Consulta - t1_25" description="Conexión a la consulta 't1_25' en el libro." type="5" refreshedVersion="0" background="1">
    <dbPr connection="Provider=Microsoft.Mashup.OleDb.1;Data Source=$Workbook$;Location=t1_25;Extended Properties=&quot;&quot;" command="SELECT * FROM [t1_25]"/>
  </connection>
  <connection id="12" xr16:uid="{FD65ABB1-773C-4E60-8422-6E5E1D22D879}" keepAlive="1" name="Consulta - t1_25 (2)" description="Conexión a la consulta 't1_25 (2)' en el libro." type="5" refreshedVersion="8" background="1" saveData="1">
    <dbPr connection="Provider=Microsoft.Mashup.OleDb.1;Data Source=$Workbook$;Location=&quot;t1_25 (2)&quot;;Extended Properties=&quot;&quot;" command="SELECT * FROM [t1_25 (2)]"/>
  </connection>
  <connection id="13" xr16:uid="{45053CD7-B759-4F59-9D1B-4CD08186AB3D}" keepAlive="1" name="Consulta - Ultra_KKI_v2_20" description="Conexión a la consulta 'Ultra_KKI_v2_20' en el libro." type="5" refreshedVersion="0" background="1">
    <dbPr connection="Provider=Microsoft.Mashup.OleDb.1;Data Source=$Workbook$;Location=Ultra_KKI_v2_20;Extended Properties=&quot;&quot;" command="SELECT * FROM [Ultra_KKI_v2_20]"/>
  </connection>
  <connection id="14" xr16:uid="{8453B21E-5F20-44F4-9320-75FFBF4C9A30}" keepAlive="1" name="Consulta - Ultra_KKI_v2_20 (2)" description="Conexión a la consulta 'Ultra_KKI_v2_20 (2)' en el libro." type="5" refreshedVersion="8" background="1" saveData="1">
    <dbPr connection="Provider=Microsoft.Mashup.OleDb.1;Data Source=$Workbook$;Location=&quot;Ultra_KKI_v2_20 (2)&quot;;Extended Properties=&quot;&quot;" command="SELECT * FROM [Ultra_KKI_v2_20 (2)]"/>
  </connection>
  <connection id="15" xr16:uid="{D7E9C6C0-8417-450F-8242-1CD9473BCD20}" keepAlive="1" name="Query - DaGdAg_35" description="Connection to the 'DaGdAg_35' query in the workbook." type="5" refreshedVersion="8" background="1" saveData="1">
    <dbPr connection="Provider=Microsoft.Mashup.OleDb.1;Data Source=$Workbook$;Location=DaGdAg_35;Extended Properties=&quot;&quot;" command="SELECT * FROM [DaGdAg_35]"/>
  </connection>
</connections>
</file>

<file path=xl/sharedStrings.xml><?xml version="1.0" encoding="utf-8"?>
<sst xmlns="http://schemas.openxmlformats.org/spreadsheetml/2006/main" count="102" uniqueCount="66">
  <si>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</si>
  <si>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</si>
  <si>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</si>
  <si>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</si>
  <si>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</si>
  <si>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</si>
  <si>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</si>
  <si>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</si>
  <si>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Crank position</t>
  </si>
  <si>
    <t>Column9</t>
  </si>
  <si>
    <t>Column10</t>
  </si>
  <si>
    <t>Column11</t>
  </si>
  <si>
    <t>Column12</t>
  </si>
  <si>
    <t>Motor Frequency (Hz)</t>
  </si>
  <si>
    <t>No Bond Peak-Peak Average (mm)</t>
  </si>
  <si>
    <t>No Bond Peak-Peak Standard deviation (mm)</t>
  </si>
  <si>
    <t>Bond Peak-Peak Average (mm)</t>
  </si>
  <si>
    <t>Bond Peak-Peak Standard deviation (mm)</t>
  </si>
  <si>
    <t>No Bond Frequency Average (Hz)</t>
  </si>
  <si>
    <t>No Bond Frequency Standard deviation (Hz)</t>
  </si>
  <si>
    <t>Bond Frequency Average (Hz)</t>
  </si>
  <si>
    <t>Bond Frequency Standard deviation (Hz)</t>
  </si>
  <si>
    <t>Wavelength Average (m)</t>
  </si>
  <si>
    <t>Wavelength Standard deviation (m)</t>
  </si>
  <si>
    <t>a</t>
  </si>
  <si>
    <t>1.9975997510047785</t>
  </si>
  <si>
    <t>0.0022163022492326244</t>
  </si>
  <si>
    <t>0.15862442661492235</t>
  </si>
  <si>
    <t>6.540883583302523e-17</t>
  </si>
  <si>
    <t>7.482615506080005e-17</t>
  </si>
  <si>
    <t>2.664</t>
  </si>
  <si>
    <t>1.1809290351311197e-15</t>
  </si>
  <si>
    <t>A20</t>
  </si>
  <si>
    <t>A40</t>
  </si>
  <si>
    <t>3.9</t>
  </si>
  <si>
    <t>B20</t>
  </si>
  <si>
    <t>4.2</t>
  </si>
  <si>
    <t>10.4</t>
  </si>
  <si>
    <t>9.8</t>
  </si>
  <si>
    <t>Sensor</t>
  </si>
  <si>
    <t>Bond</t>
  </si>
  <si>
    <t>No Bond</t>
  </si>
  <si>
    <t>6.1</t>
  </si>
  <si>
    <t>5.9</t>
  </si>
  <si>
    <t>B40</t>
  </si>
  <si>
    <t>Tranversal</t>
  </si>
  <si>
    <t>No</t>
  </si>
  <si>
    <t>Sí</t>
  </si>
  <si>
    <t>7.5 - 10</t>
  </si>
  <si>
    <t>8 - 10.5</t>
  </si>
  <si>
    <t>B32.5</t>
  </si>
  <si>
    <t>10.5 - 11</t>
  </si>
  <si>
    <t>11.5 - 12.5</t>
  </si>
  <si>
    <t>B15</t>
  </si>
  <si>
    <t>3.7</t>
  </si>
  <si>
    <t>3.3</t>
  </si>
  <si>
    <t>B17</t>
  </si>
  <si>
    <t>3.4</t>
  </si>
  <si>
    <t>4.1</t>
  </si>
  <si>
    <t>C15</t>
  </si>
  <si>
    <t>4.8</t>
  </si>
  <si>
    <t>Frequency (Hz)</t>
  </si>
  <si>
    <t>Bond Peak-Peak (mm)</t>
  </si>
  <si>
    <t>No Bond Peak-Peak (mm)</t>
  </si>
  <si>
    <t>Wavelength (m)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</si>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</sst>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8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17BC757D-2980-46E2-8857-F00D465563B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54CC959-F0EB-4377-8FFD-19E5C707D0E7}" autoFormatId="16" applyNumberFormats="0" applyBorderFormats="0" applyFontFormats="0" applyPatternFormats="0" applyAlignmentFormats="0" applyWidthHeightFormats="0">
  <queryTableRefresh nextId="13">
    <queryTableFields count="12">
      <queryTableField id="1" name="Crank position" tableColumnId="1"/>
      <queryTableField id="2" name="Motor Frequency (Hz)" tableColumnId="2"/>
      <queryTableField id="3" name="No Bond Peak-Peak Average (mm)" tableColumnId="3"/>
      <queryTableField id="4" name="No Bond Peak-Peak Standard deviation (mm)" tableColumnId="4"/>
      <queryTableField id="5" name="Bond Peak-Peak Average (mm)" tableColumnId="5"/>
      <queryTableField id="6" name="Bond Peak-Peak Standard deviation (mm)" tableColumnId="6"/>
      <queryTableField id="7" name="No Bond Frequency Average (Hz)" tableColumnId="7"/>
      <queryTableField id="8" name="No Bond Frequency Standard deviation (Hz)" tableColumnId="8"/>
      <queryTableField id="9" name="Bond Frequency Average (Hz)" tableColumnId="9"/>
      <queryTableField id="10" name="Bond Frequency Standard deviation (Hz)" tableColumnId="10"/>
      <queryTableField id="11" name="Wavelength Average (m)" tableColumnId="11"/>
      <queryTableField id="12" name="Wavelength Standard deviation (m)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61281-C45B-4FC3-A443-5FDAD60EEF6E}" name="Results__2" displayName="Results__2" ref="B2:M4" tableType="queryTable" totalsRowShown="0" headerRowDxfId="13" dataDxfId="12">
  <autoFilter ref="B2:M4" xr:uid="{D5D61281-C45B-4FC3-A443-5FDAD60EEF6E}"/>
  <tableColumns count="12">
    <tableColumn id="1" xr3:uid="{4B0FDF23-436E-40C4-98A0-2D7984198031}" uniqueName="1" name="Column1" queryTableFieldId="1" dataDxfId="11"/>
    <tableColumn id="2" xr3:uid="{F26727E6-5117-4E62-A641-B555CE2BBE2B}" uniqueName="2" name="Column2" queryTableFieldId="2" dataDxfId="10"/>
    <tableColumn id="3" xr3:uid="{2824B05F-AA57-48DC-9BE2-CACD4C169B24}" uniqueName="3" name="Column3" queryTableFieldId="3" dataDxfId="9"/>
    <tableColumn id="4" xr3:uid="{1CFA93BD-FEB6-4809-ADBC-705C0E2C8053}" uniqueName="4" name="Column4" queryTableFieldId="4" dataDxfId="8"/>
    <tableColumn id="5" xr3:uid="{DFA00925-D1CF-4259-98C9-4DF79EF4C8ED}" uniqueName="5" name="Column5" queryTableFieldId="5" dataDxfId="7"/>
    <tableColumn id="6" xr3:uid="{78C29D03-25C1-4814-9E06-2F1B0DCBB726}" uniqueName="6" name="Column6" queryTableFieldId="6" dataDxfId="6"/>
    <tableColumn id="7" xr3:uid="{9AC75B49-34A7-4230-B476-4294A970855E}" uniqueName="7" name="Column7" queryTableFieldId="7" dataDxfId="5"/>
    <tableColumn id="8" xr3:uid="{8AC85562-68F0-45CC-9012-516092D345BF}" uniqueName="8" name="Column8" queryTableFieldId="8" dataDxfId="4"/>
    <tableColumn id="9" xr3:uid="{D9C9F2C5-77B8-4C62-AEFB-4CEE5DF43F8D}" uniqueName="9" name="Column9" queryTableFieldId="9" dataDxfId="3"/>
    <tableColumn id="10" xr3:uid="{61939AF3-22C1-492F-808E-CD2983BEC40E}" uniqueName="10" name="Column10" queryTableFieldId="10" dataDxfId="2"/>
    <tableColumn id="11" xr3:uid="{D0F88A10-9E13-4173-ACCF-071CC942A24F}" uniqueName="11" name="Column11" queryTableFieldId="11" dataDxfId="1"/>
    <tableColumn id="12" xr3:uid="{8D2FE50A-050A-480F-8848-40AEA8C16D73}" uniqueName="12" name="Column12" queryTableFieldId="12" dataDxfId="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9036E4-9BAF-4F78-AAE4-5902CE820FE8}" name="Results__4" displayName="Results__4" ref="B2:M8" tableType="queryTable" totalsRowShown="0" headerRowDxfId="27" dataDxfId="26">
  <autoFilter ref="B2:M8" xr:uid="{AB9036E4-9BAF-4F78-AAE4-5902CE820FE8}"/>
  <tableColumns count="12">
    <tableColumn id="1" xr3:uid="{FF42F95E-2207-427F-894A-1895CF6DB27F}" uniqueName="1" name="Crank position" queryTableFieldId="1" dataDxfId="25"/>
    <tableColumn id="2" xr3:uid="{3564D1FA-787E-48C9-995D-4E6078045B6C}" uniqueName="2" name="Motor Frequency (Hz)" queryTableFieldId="2" dataDxfId="24"/>
    <tableColumn id="3" xr3:uid="{7DF6ED87-B90D-4896-B81A-E0A7D5C2A36A}" uniqueName="3" name="No Bond Peak-Peak Average (mm)" queryTableFieldId="3" dataDxfId="23"/>
    <tableColumn id="4" xr3:uid="{5D417D55-69FF-4C20-8E2D-8EE563E6E33F}" uniqueName="4" name="No Bond Peak-Peak Standard deviation (mm)" queryTableFieldId="4" dataDxfId="22"/>
    <tableColumn id="5" xr3:uid="{CA8E0080-AC51-4DCB-9EF4-ED108DE4F81C}" uniqueName="5" name="Bond Peak-Peak Average (mm)" queryTableFieldId="5" dataDxfId="21"/>
    <tableColumn id="6" xr3:uid="{751277B1-CE0A-4C1C-BC23-A18D73C990E4}" uniqueName="6" name="Bond Peak-Peak Standard deviation (mm)" queryTableFieldId="6" dataDxfId="20"/>
    <tableColumn id="7" xr3:uid="{8220B147-58CE-46F3-A899-1C3D4995EA1B}" uniqueName="7" name="No Bond Frequency Average (Hz)" queryTableFieldId="7" dataDxfId="19"/>
    <tableColumn id="8" xr3:uid="{DF8728D4-8ACC-419F-A2B8-04D2CD59E4C7}" uniqueName="8" name="No Bond Frequency Standard deviation (Hz)" queryTableFieldId="8" dataDxfId="18"/>
    <tableColumn id="9" xr3:uid="{9AE5B0DD-04E4-4DAB-A277-92D643DF2039}" uniqueName="9" name="Bond Frequency Average (Hz)" queryTableFieldId="9" dataDxfId="17"/>
    <tableColumn id="10" xr3:uid="{FCDA54C0-6CCB-49CB-A3D3-D2CDFB542F54}" uniqueName="10" name="Bond Frequency Standard deviation (Hz)" queryTableFieldId="10" dataDxfId="16"/>
    <tableColumn id="11" xr3:uid="{67A16C40-7774-4E53-98C7-45A06FC64F8B}" uniqueName="11" name="Wavelength Average (m)" queryTableFieldId="11" dataDxfId="15"/>
    <tableColumn id="12" xr3:uid="{F6A6B966-75E9-449D-B1C0-D8F4F2794131}" uniqueName="12" name="Wavelength Standard deviation (m)" queryTableFieldId="12" dataDxfId="1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D497-5667-4E28-8051-5F547DE833B2}">
  <dimension ref="B2:M4"/>
  <sheetViews>
    <sheetView workbookViewId="0"/>
  </sheetViews>
  <sheetFormatPr baseColWidth="10" defaultRowHeight="14.4" x14ac:dyDescent="0.3"/>
  <cols>
    <col min="1" max="1" width="2.6640625" customWidth="1"/>
    <col min="2" max="2" width="12.6640625" bestFit="1" customWidth="1"/>
    <col min="3" max="3" width="18.6640625" bestFit="1" customWidth="1"/>
    <col min="4" max="4" width="29" bestFit="1" customWidth="1"/>
    <col min="5" max="5" width="37.88671875" bestFit="1" customWidth="1"/>
    <col min="6" max="6" width="26" bestFit="1" customWidth="1"/>
    <col min="7" max="7" width="34.88671875" bestFit="1" customWidth="1"/>
    <col min="8" max="8" width="27.77734375" bestFit="1" customWidth="1"/>
    <col min="9" max="9" width="36.6640625" bestFit="1" customWidth="1"/>
    <col min="10" max="10" width="24.77734375" bestFit="1" customWidth="1"/>
    <col min="11" max="11" width="33.6640625" bestFit="1" customWidth="1"/>
    <col min="12" max="12" width="20.88671875" bestFit="1" customWidth="1"/>
    <col min="13" max="13" width="29.77734375" bestFit="1" customWidth="1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2:13" x14ac:dyDescent="0.3">
      <c r="B3" s="1" t="s">
        <v>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2:13" x14ac:dyDescent="0.3">
      <c r="B4" s="1" t="s">
        <v>24</v>
      </c>
      <c r="C4" s="1" t="s">
        <v>24</v>
      </c>
      <c r="D4" s="1" t="s">
        <v>25</v>
      </c>
      <c r="E4" s="1" t="s">
        <v>26</v>
      </c>
      <c r="F4" s="1" t="s">
        <v>25</v>
      </c>
      <c r="G4" s="1" t="s">
        <v>25</v>
      </c>
      <c r="H4" s="1" t="s">
        <v>27</v>
      </c>
      <c r="I4" s="1" t="s">
        <v>28</v>
      </c>
      <c r="J4" s="1" t="s">
        <v>27</v>
      </c>
      <c r="K4" s="1" t="s">
        <v>29</v>
      </c>
      <c r="L4" s="1" t="s">
        <v>30</v>
      </c>
      <c r="M4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303A-33D4-40B8-9CDA-C033E667A10F}">
  <dimension ref="B2:E10"/>
  <sheetViews>
    <sheetView workbookViewId="0"/>
  </sheetViews>
  <sheetFormatPr baseColWidth="10" defaultRowHeight="14.4" x14ac:dyDescent="0.3"/>
  <cols>
    <col min="1" max="1" width="2.6640625" style="1" customWidth="1"/>
    <col min="2" max="16384" width="11.5546875" style="1"/>
  </cols>
  <sheetData>
    <row r="2" spans="2:5" x14ac:dyDescent="0.3">
      <c r="B2" s="3" t="s">
        <v>39</v>
      </c>
      <c r="C2" s="3" t="s">
        <v>41</v>
      </c>
      <c r="D2" s="3" t="s">
        <v>40</v>
      </c>
      <c r="E2" s="3" t="s">
        <v>45</v>
      </c>
    </row>
    <row r="3" spans="2:5" x14ac:dyDescent="0.3">
      <c r="B3" s="1" t="s">
        <v>32</v>
      </c>
      <c r="C3" s="1" t="s">
        <v>34</v>
      </c>
      <c r="D3" s="1" t="s">
        <v>36</v>
      </c>
      <c r="E3" s="1" t="s">
        <v>46</v>
      </c>
    </row>
    <row r="4" spans="2:5" x14ac:dyDescent="0.3">
      <c r="B4" s="1" t="s">
        <v>33</v>
      </c>
      <c r="C4" s="1" t="s">
        <v>38</v>
      </c>
      <c r="D4" s="1" t="s">
        <v>37</v>
      </c>
      <c r="E4" s="1" t="s">
        <v>46</v>
      </c>
    </row>
    <row r="5" spans="2:5" x14ac:dyDescent="0.3">
      <c r="B5" s="1" t="s">
        <v>35</v>
      </c>
      <c r="C5" s="1" t="s">
        <v>43</v>
      </c>
      <c r="D5" s="1" t="s">
        <v>42</v>
      </c>
      <c r="E5" s="1" t="s">
        <v>46</v>
      </c>
    </row>
    <row r="6" spans="2:5" x14ac:dyDescent="0.3">
      <c r="B6" s="1" t="s">
        <v>44</v>
      </c>
      <c r="C6" s="1" t="s">
        <v>48</v>
      </c>
      <c r="D6" s="1" t="s">
        <v>49</v>
      </c>
      <c r="E6" s="1" t="s">
        <v>47</v>
      </c>
    </row>
    <row r="7" spans="2:5" x14ac:dyDescent="0.3">
      <c r="B7" s="1" t="s">
        <v>50</v>
      </c>
      <c r="C7" s="1" t="s">
        <v>51</v>
      </c>
      <c r="D7" s="1" t="s">
        <v>52</v>
      </c>
      <c r="E7" s="1" t="s">
        <v>46</v>
      </c>
    </row>
    <row r="8" spans="2:5" x14ac:dyDescent="0.3">
      <c r="B8" s="1" t="s">
        <v>53</v>
      </c>
      <c r="C8" s="1" t="s">
        <v>54</v>
      </c>
      <c r="D8" s="1" t="s">
        <v>55</v>
      </c>
      <c r="E8" s="1" t="s">
        <v>46</v>
      </c>
    </row>
    <row r="9" spans="2:5" x14ac:dyDescent="0.3">
      <c r="B9" s="1" t="s">
        <v>56</v>
      </c>
      <c r="C9" s="1" t="s">
        <v>57</v>
      </c>
      <c r="D9" s="1" t="s">
        <v>58</v>
      </c>
      <c r="E9" s="1" t="s">
        <v>46</v>
      </c>
    </row>
    <row r="10" spans="2:5" x14ac:dyDescent="0.3">
      <c r="B10" s="2" t="s">
        <v>59</v>
      </c>
      <c r="C10" s="2" t="s">
        <v>60</v>
      </c>
      <c r="D10" s="2" t="s">
        <v>58</v>
      </c>
      <c r="E10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EC0A-38D2-4F1D-9DA2-96D2760B50DA}">
  <dimension ref="B2:G12"/>
  <sheetViews>
    <sheetView workbookViewId="0">
      <selection activeCell="G6" sqref="G6"/>
    </sheetView>
  </sheetViews>
  <sheetFormatPr baseColWidth="10" defaultRowHeight="14.4" x14ac:dyDescent="0.3"/>
  <cols>
    <col min="1" max="1" width="2.6640625" customWidth="1"/>
    <col min="2" max="2" width="12.6640625" bestFit="1" customWidth="1"/>
    <col min="3" max="3" width="18.6640625" bestFit="1" customWidth="1"/>
    <col min="4" max="4" width="21.88671875" bestFit="1" customWidth="1"/>
    <col min="5" max="5" width="18.88671875" bestFit="1" customWidth="1"/>
    <col min="6" max="6" width="12.88671875" bestFit="1" customWidth="1"/>
    <col min="7" max="7" width="13.77734375" bestFit="1" customWidth="1"/>
  </cols>
  <sheetData>
    <row r="2" spans="2:7" x14ac:dyDescent="0.3">
      <c r="B2" s="4" t="s">
        <v>8</v>
      </c>
      <c r="C2" s="4" t="s">
        <v>13</v>
      </c>
      <c r="D2" s="4" t="s">
        <v>63</v>
      </c>
      <c r="E2" s="4" t="s">
        <v>62</v>
      </c>
      <c r="F2" s="4" t="s">
        <v>61</v>
      </c>
      <c r="G2" s="4" t="s">
        <v>64</v>
      </c>
    </row>
    <row r="3" spans="2:7" x14ac:dyDescent="0.3">
      <c r="B3" s="5" t="s">
        <v>65</v>
      </c>
      <c r="C3" s="5">
        <v>15</v>
      </c>
      <c r="D3" s="8">
        <v>37</v>
      </c>
      <c r="E3" s="8">
        <v>32</v>
      </c>
      <c r="F3" s="7">
        <f>1/2.689</f>
        <v>0.37188545927854222</v>
      </c>
      <c r="G3" s="7">
        <v>6.3</v>
      </c>
    </row>
    <row r="4" spans="2:7" x14ac:dyDescent="0.3">
      <c r="B4" s="5" t="s">
        <v>65</v>
      </c>
      <c r="C4" s="5">
        <v>17</v>
      </c>
      <c r="D4" s="8">
        <v>34</v>
      </c>
      <c r="E4" s="8">
        <v>41</v>
      </c>
      <c r="F4" s="7">
        <f>1/2.367</f>
        <v>0.42247570764681031</v>
      </c>
      <c r="G4" s="7">
        <v>5.18</v>
      </c>
    </row>
    <row r="5" spans="2:7" x14ac:dyDescent="0.3">
      <c r="B5" s="5" t="s">
        <v>65</v>
      </c>
      <c r="C5" s="5">
        <v>19</v>
      </c>
      <c r="D5" s="8">
        <v>47</v>
      </c>
      <c r="E5" s="8">
        <v>48</v>
      </c>
      <c r="F5" s="7">
        <f>1/2.123</f>
        <v>0.4710315591144606</v>
      </c>
      <c r="G5" s="7">
        <v>4.58</v>
      </c>
    </row>
    <row r="6" spans="2:7" x14ac:dyDescent="0.3">
      <c r="B6" s="5" t="s">
        <v>65</v>
      </c>
      <c r="C6" s="5">
        <v>21</v>
      </c>
      <c r="D6" s="8">
        <v>71</v>
      </c>
      <c r="E6" s="8">
        <v>70</v>
      </c>
      <c r="F6" s="7">
        <f>1/1.916</f>
        <v>0.52192066805845516</v>
      </c>
      <c r="G6" s="7">
        <v>4.25</v>
      </c>
    </row>
    <row r="7" spans="2:7" x14ac:dyDescent="0.3">
      <c r="B7" s="5" t="s">
        <v>65</v>
      </c>
      <c r="C7" s="5">
        <v>23</v>
      </c>
      <c r="D7" s="8">
        <v>56</v>
      </c>
      <c r="E7" s="8">
        <v>56</v>
      </c>
      <c r="F7" s="7">
        <f>1/1.756</f>
        <v>0.56947608200455579</v>
      </c>
      <c r="G7" s="7">
        <v>3.37</v>
      </c>
    </row>
    <row r="8" spans="2:7" x14ac:dyDescent="0.3">
      <c r="B8" s="5" t="s">
        <v>65</v>
      </c>
      <c r="C8" s="5">
        <v>25</v>
      </c>
      <c r="D8" s="8">
        <v>89</v>
      </c>
      <c r="E8" s="8">
        <v>69</v>
      </c>
      <c r="F8" s="7">
        <f>1/1.614</f>
        <v>0.61957868649318459</v>
      </c>
      <c r="G8" s="7">
        <v>2.88</v>
      </c>
    </row>
    <row r="9" spans="2:7" x14ac:dyDescent="0.3">
      <c r="B9" s="5"/>
      <c r="C9" s="5"/>
      <c r="D9" s="6"/>
      <c r="E9" s="6"/>
      <c r="F9" s="7"/>
      <c r="G9" s="7"/>
    </row>
    <row r="10" spans="2:7" x14ac:dyDescent="0.3">
      <c r="B10" s="5"/>
      <c r="C10" s="5"/>
      <c r="D10" s="6"/>
      <c r="E10" s="6"/>
      <c r="F10" s="7"/>
      <c r="G10" s="7"/>
    </row>
    <row r="11" spans="2:7" x14ac:dyDescent="0.3">
      <c r="B11" s="5"/>
      <c r="C11" s="5"/>
      <c r="D11" s="6"/>
      <c r="E11" s="6"/>
      <c r="F11" s="7"/>
      <c r="G11" s="7"/>
    </row>
    <row r="12" spans="2:7" x14ac:dyDescent="0.3">
      <c r="B12" s="5"/>
      <c r="C12" s="5"/>
      <c r="D12" s="6"/>
      <c r="E12" s="6"/>
      <c r="F12" s="7"/>
      <c r="G1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0E97-541E-433F-AB4D-CE23504A2FF2}">
  <dimension ref="B2:M8"/>
  <sheetViews>
    <sheetView tabSelected="1" workbookViewId="0"/>
  </sheetViews>
  <sheetFormatPr baseColWidth="10" defaultRowHeight="14.4" x14ac:dyDescent="0.3"/>
  <cols>
    <col min="1" max="1" width="2.6640625" customWidth="1"/>
    <col min="2" max="2" width="15.33203125" bestFit="1" customWidth="1"/>
    <col min="3" max="3" width="21.6640625" bestFit="1" customWidth="1"/>
    <col min="4" max="4" width="32.6640625" bestFit="1" customWidth="1"/>
    <col min="5" max="5" width="42" bestFit="1" customWidth="1"/>
    <col min="6" max="6" width="29.77734375" bestFit="1" customWidth="1"/>
    <col min="7" max="7" width="39.109375" bestFit="1" customWidth="1"/>
    <col min="8" max="8" width="31.21875" bestFit="1" customWidth="1"/>
    <col min="9" max="9" width="40.5546875" bestFit="1" customWidth="1"/>
    <col min="10" max="10" width="28.21875" bestFit="1" customWidth="1"/>
    <col min="11" max="11" width="37.5546875" bestFit="1" customWidth="1"/>
    <col min="12" max="12" width="24.33203125" bestFit="1" customWidth="1"/>
    <col min="13" max="13" width="33.6640625" bestFit="1" customWidth="1"/>
  </cols>
  <sheetData>
    <row r="2" spans="2:13" x14ac:dyDescent="0.3">
      <c r="B2" s="1" t="s">
        <v>8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2:13" x14ac:dyDescent="0.3">
      <c r="B3" s="1" t="s">
        <v>65</v>
      </c>
      <c r="C3" s="1">
        <v>15</v>
      </c>
      <c r="D3" s="1">
        <v>39.966281407035098</v>
      </c>
      <c r="E3" s="1">
        <v>1.08888518711256</v>
      </c>
      <c r="F3" s="1">
        <v>33.586381909547697</v>
      </c>
      <c r="G3" s="1">
        <v>1.22761696345562</v>
      </c>
      <c r="H3" s="1">
        <v>0.37308378904380501</v>
      </c>
      <c r="I3" s="1">
        <v>8.6603711326128392E-3</v>
      </c>
      <c r="J3" s="1">
        <v>0.373262882006829</v>
      </c>
      <c r="K3" s="1">
        <v>8.6205948779737793E-3</v>
      </c>
      <c r="L3" s="1">
        <v>7.6848523227134304</v>
      </c>
      <c r="M3" s="1">
        <v>0.56679198863006897</v>
      </c>
    </row>
    <row r="4" spans="2:13" x14ac:dyDescent="0.3">
      <c r="B4" s="1" t="s">
        <v>65</v>
      </c>
      <c r="C4" s="1">
        <v>17</v>
      </c>
      <c r="D4" s="1">
        <v>37.240151515151503</v>
      </c>
      <c r="E4" s="1">
        <v>1.1735660771054599</v>
      </c>
      <c r="F4" s="1">
        <v>44.833316582914499</v>
      </c>
      <c r="G4" s="1">
        <v>1.26882951520801</v>
      </c>
      <c r="H4" s="1">
        <v>0.42192262798061497</v>
      </c>
      <c r="I4" s="1">
        <v>1.0693303825137E-2</v>
      </c>
      <c r="J4" s="1">
        <v>0.42226084406619901</v>
      </c>
      <c r="K4" s="1">
        <v>8.7560282055237602E-3</v>
      </c>
      <c r="L4" s="1">
        <v>7.1050986936760401</v>
      </c>
      <c r="M4" s="1">
        <v>0.44101331948859401</v>
      </c>
    </row>
    <row r="5" spans="2:13" x14ac:dyDescent="0.3">
      <c r="B5" s="1" t="s">
        <v>65</v>
      </c>
      <c r="C5" s="1">
        <v>19</v>
      </c>
      <c r="D5" s="1">
        <v>49.587587939698402</v>
      </c>
      <c r="E5" s="1">
        <v>1.19458805335879</v>
      </c>
      <c r="F5" s="1">
        <v>51.811356783919599</v>
      </c>
      <c r="G5" s="1">
        <v>1.2176976405411499</v>
      </c>
      <c r="H5" s="1">
        <v>0.472677607621384</v>
      </c>
      <c r="I5" s="1">
        <v>1.0906883145488201E-2</v>
      </c>
      <c r="J5" s="1">
        <v>0.47268033779195001</v>
      </c>
      <c r="K5" s="1">
        <v>1.09710528042194E-2</v>
      </c>
      <c r="L5" s="1">
        <v>4.9246529722523897</v>
      </c>
      <c r="M5" s="1">
        <v>0.28498517035404902</v>
      </c>
    </row>
    <row r="6" spans="2:13" x14ac:dyDescent="0.3">
      <c r="B6" s="1" t="s">
        <v>65</v>
      </c>
      <c r="C6" s="1">
        <v>21</v>
      </c>
      <c r="D6" s="1">
        <v>73.057688442211003</v>
      </c>
      <c r="E6" s="1">
        <v>1.61416541384381</v>
      </c>
      <c r="F6" s="1">
        <v>71.791414141414094</v>
      </c>
      <c r="G6" s="1">
        <v>1.4026262604846</v>
      </c>
      <c r="H6" s="1">
        <v>0.52224345617458201</v>
      </c>
      <c r="I6" s="1">
        <v>1.5842556331143499E-2</v>
      </c>
      <c r="J6" s="1">
        <v>0.52793678099433405</v>
      </c>
      <c r="K6" s="1">
        <v>6.3469908346753007E-2</v>
      </c>
      <c r="L6" s="1">
        <v>4.3432600065681299</v>
      </c>
      <c r="M6" s="1">
        <v>1.7855625636049901</v>
      </c>
    </row>
    <row r="7" spans="2:13" x14ac:dyDescent="0.3">
      <c r="B7" s="1" t="s">
        <v>65</v>
      </c>
      <c r="C7" s="1">
        <v>23</v>
      </c>
      <c r="D7" s="1">
        <v>53.910303030302998</v>
      </c>
      <c r="E7" s="1">
        <v>1.37558106193721</v>
      </c>
      <c r="F7" s="1">
        <v>60.539949494949497</v>
      </c>
      <c r="G7" s="1">
        <v>1.19149886302232</v>
      </c>
      <c r="H7" s="1">
        <v>0.57248553057417595</v>
      </c>
      <c r="I7" s="1">
        <v>1.39320027661783E-2</v>
      </c>
      <c r="J7" s="1">
        <v>0.57707610569051604</v>
      </c>
      <c r="K7" s="1">
        <v>4.4207430103145498E-2</v>
      </c>
      <c r="L7" s="1">
        <v>-3.7612876156648798</v>
      </c>
      <c r="M7" s="1">
        <v>3.86724364023017</v>
      </c>
    </row>
    <row r="8" spans="2:13" x14ac:dyDescent="0.3">
      <c r="B8" s="1" t="s">
        <v>65</v>
      </c>
      <c r="C8" s="1">
        <v>25</v>
      </c>
      <c r="D8" s="1">
        <v>83.622299999999996</v>
      </c>
      <c r="E8" s="1">
        <v>2.7658774557999601</v>
      </c>
      <c r="F8" s="1">
        <v>72.909497487437093</v>
      </c>
      <c r="G8" s="1">
        <v>1.8860430355811999</v>
      </c>
      <c r="H8" s="1">
        <v>0.621996948745415</v>
      </c>
      <c r="I8" s="1">
        <v>1.8717011914990599E-2</v>
      </c>
      <c r="J8" s="1">
        <v>0.62201512643230406</v>
      </c>
      <c r="K8" s="1">
        <v>2.5408917461787701E-2</v>
      </c>
      <c r="L8" s="1">
        <v>-4.8477622355971102</v>
      </c>
      <c r="M8" s="1">
        <v>0.40661734738019201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EC289-DD15-41A8-A00B-E07E6BAADCD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0E437C1-2882-47C0-9EBB-DDEB4A500556}"/>
</file>

<file path=customXml/itemProps3.xml><?xml version="1.0" encoding="utf-8"?>
<ds:datastoreItem xmlns:ds="http://schemas.openxmlformats.org/officeDocument/2006/customXml" ds:itemID="{3535AF23-7024-411C-8718-C711C33CA595}"/>
</file>

<file path=customXml/itemProps4.xml><?xml version="1.0" encoding="utf-8"?>
<ds:datastoreItem xmlns:ds="http://schemas.openxmlformats.org/officeDocument/2006/customXml" ds:itemID="{173AE375-A38C-4C3B-A8C2-5A6215F93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Old results</vt:lpstr>
      <vt:lpstr>Prelims</vt:lpstr>
      <vt:lpstr>Real results</vt:lpstr>
      <vt:lpstr>Old code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</dc:creator>
  <cp:lastModifiedBy>DANIEL ESTEBAN QUESADA LOBO</cp:lastModifiedBy>
  <dcterms:created xsi:type="dcterms:W3CDTF">2015-06-05T18:17:20Z</dcterms:created>
  <dcterms:modified xsi:type="dcterms:W3CDTF">2024-12-09T15:51:19Z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